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<sst xmlns="http://schemas.openxmlformats.org/spreadsheetml/2006/main" count="17" uniqueCount="10">
  <si>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model</t>
  </si>
  <si>
    <t>average</t>
  </si>
  <si>
    <t>nmse(db)</t>
  </si>
  <si>
    <t>size(MB)</t>
  </si>
  <si>
    <t>gpt</t>
  </si>
  <si>
    <t>transformer</t>
  </si>
  <si>
    <t>lstm</t>
  </si>
  <si>
    <t>rnn</t>
  </si>
  <si>
    <t>np</t>
  </si>
  <si>
    <t>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</si>
</sst>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color theme="1"/>
      <name val="宋体"/>
      <charset val="134"/>
    </font>
    <font>
      <b/>
      <sz val="14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176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zoomScale="108" zoomScaleNormal="108" workbookViewId="0">
      <selection activeCell="I7" sqref="I7"/>
    </sheetView>
  </sheetViews>
  <sheetFormatPr defaultColWidth="9" defaultRowHeight="20.4"/>
  <cols>
    <col min="1" max="1" width="14.3303571428571" style="1" customWidth="1"/>
    <col min="2" max="11" width="13" style="1"/>
    <col min="12" max="13" width="11.7678571428571" style="1" customWidth="1"/>
    <col min="14" max="16384" width="9" style="1"/>
  </cols>
  <sheetData>
    <row r="1" spans="1:14">
      <c r="A1" s="2" t="s">
        <v>0</v>
      </c>
      <c r="B1" s="2">
        <v>10</v>
      </c>
      <c r="C1" s="2">
        <v>20</v>
      </c>
      <c r="D1" s="2">
        <v>30</v>
      </c>
      <c r="E1" s="2">
        <v>40</v>
      </c>
      <c r="F1" s="2">
        <v>50</v>
      </c>
      <c r="G1" s="2">
        <v>60</v>
      </c>
      <c r="H1" s="2">
        <v>70</v>
      </c>
      <c r="I1" s="2">
        <v>80</v>
      </c>
      <c r="J1" s="2">
        <v>90</v>
      </c>
      <c r="K1" s="2">
        <v>100</v>
      </c>
      <c r="L1" s="2" t="s">
        <v>1</v>
      </c>
      <c r="M1" s="2" t="s">
        <v>2</v>
      </c>
      <c r="N1" s="1" t="s">
        <v>3</v>
      </c>
    </row>
    <row r="2" spans="1:14">
      <c r="A2" s="2" t="s">
        <v>4</v>
      </c>
      <c r="B2" s="3">
        <v>0.0208446530985736</v>
      </c>
      <c r="C2" s="3">
        <v>0.0229575377438337</v>
      </c>
      <c r="D2" s="3">
        <v>0.0248512752474315</v>
      </c>
      <c r="E2" s="3">
        <v>0.0260711568858354</v>
      </c>
      <c r="F2" s="3">
        <v>0.0298359957073004</v>
      </c>
      <c r="G2" s="3">
        <v>0.0328560234798539</v>
      </c>
      <c r="H2" s="3">
        <v>0.0384058159205221</v>
      </c>
      <c r="I2" s="3">
        <v>0.0423256203291877</v>
      </c>
      <c r="J2" s="3">
        <v>0.0498920919433716</v>
      </c>
      <c r="K2" s="3">
        <v>0.0573870602153962</v>
      </c>
      <c r="L2" s="4">
        <f>AVERAGEA(B2:K2)</f>
        <v>0.0345427230571306</v>
      </c>
      <c r="M2" s="4">
        <f>LOG10(L2)*10</f>
        <v>-14.6164342930269</v>
      </c>
      <c r="N2" s="1">
        <v>337</v>
      </c>
    </row>
    <row r="3" spans="1:14">
      <c r="A3" s="2" t="s">
        <v>5</v>
      </c>
      <c r="B3" s="3">
        <v>0.031382385941763</v>
      </c>
      <c r="C3" s="3">
        <v>0.0328706043862527</v>
      </c>
      <c r="D3" s="3">
        <v>0.0343092401782351</v>
      </c>
      <c r="E3" s="3">
        <v>0.0323320525067467</v>
      </c>
      <c r="F3" s="3">
        <v>0.0420459493273688</v>
      </c>
      <c r="G3" s="3">
        <v>0.0437682372547926</v>
      </c>
      <c r="H3" s="3">
        <v>0.0564549251068984</v>
      </c>
      <c r="I3" s="3">
        <v>0.0617749252386631</v>
      </c>
      <c r="J3" s="3">
        <v>0.078870711908225</v>
      </c>
      <c r="K3" s="3">
        <v>0.0881619539953047</v>
      </c>
      <c r="L3" s="3">
        <f>AVERAGEA(B3:K3)</f>
        <v>0.050197098584425</v>
      </c>
      <c r="M3" s="4">
        <f>LOG10(L3)*10</f>
        <v>-12.9932138455198</v>
      </c>
      <c r="N3" s="1">
        <v>15</v>
      </c>
    </row>
    <row r="4" spans="1:14">
      <c r="A4" s="2" t="s">
        <v>6</v>
      </c>
      <c r="B4" s="3">
        <v>0.0797886195923051</v>
      </c>
      <c r="C4" s="3">
        <v>0.0778792699979197</v>
      </c>
      <c r="D4" s="3">
        <v>0.0659071842749272</v>
      </c>
      <c r="E4" s="3">
        <v>0.0482519025043133</v>
      </c>
      <c r="F4" s="3">
        <v>0.0700705381891419</v>
      </c>
      <c r="G4" s="3">
        <v>0.063826932421615</v>
      </c>
      <c r="H4" s="3">
        <v>0.0881262965981037</v>
      </c>
      <c r="I4" s="3">
        <v>0.0957967045326386</v>
      </c>
      <c r="J4" s="3">
        <v>0.122795021822375</v>
      </c>
      <c r="K4" s="3">
        <v>0.115610423587983</v>
      </c>
      <c r="L4" s="3">
        <f>AVERAGEA(B4:K4)</f>
        <v>0.0828052893521322</v>
      </c>
      <c r="M4" s="4">
        <f>LOG10(L4)*10</f>
        <v>-10.8194192090745</v>
      </c>
      <c r="N4" s="1">
        <v>4.4</v>
      </c>
    </row>
    <row r="5" spans="1:14">
      <c r="A5" s="2" t="s">
        <v>7</v>
      </c>
      <c r="B5" s="3">
        <v>0.169922963986473</v>
      </c>
      <c r="C5" s="3">
        <v>0.132693541626776</v>
      </c>
      <c r="D5" s="3">
        <v>0.103759074884076</v>
      </c>
      <c r="E5" s="3">
        <v>0.0773472785949707</v>
      </c>
      <c r="F5" s="3">
        <v>0.104888607177042</v>
      </c>
      <c r="G5" s="3">
        <v>0.0865054470637152</v>
      </c>
      <c r="H5" s="3">
        <v>0.116376697296096</v>
      </c>
      <c r="I5" s="3">
        <v>0.124206467982261</v>
      </c>
      <c r="J5" s="3">
        <v>0.155131451785564</v>
      </c>
      <c r="K5" s="3">
        <v>0.206569114039021</v>
      </c>
      <c r="L5" s="3">
        <f>AVERAGEA(B5:K5)</f>
        <v>0.127740064443599</v>
      </c>
      <c r="M5" s="4">
        <f>LOG10(L5)*10</f>
        <v>-8.93672869080707</v>
      </c>
      <c r="N5" s="1">
        <v>1.2</v>
      </c>
    </row>
    <row r="6" spans="1:13">
      <c r="A6" s="2" t="s">
        <v>8</v>
      </c>
      <c r="B6" s="3">
        <v>0.0587316930534378</v>
      </c>
      <c r="C6" s="3">
        <v>0.133012894180513</v>
      </c>
      <c r="D6" s="3">
        <v>0.251265021101121</v>
      </c>
      <c r="E6" s="3">
        <v>0.411342163239755</v>
      </c>
      <c r="F6" s="3">
        <v>0.592370177468945</v>
      </c>
      <c r="G6" s="3">
        <v>0.796842578918703</v>
      </c>
      <c r="H6" s="3">
        <v>1.02314224935347</v>
      </c>
      <c r="I6" s="3">
        <v>1.25395249551342</v>
      </c>
      <c r="J6" s="3">
        <v>1.47763354163016</v>
      </c>
      <c r="K6" s="3">
        <v>1.6886072004995</v>
      </c>
      <c r="L6" s="3">
        <f>AVERAGEA(B6:K6)</f>
        <v>0.768690001495902</v>
      </c>
      <c r="M6" s="4">
        <f>LOG10(L6)*10</f>
        <v>-1.14248767848903</v>
      </c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5"/>
    </row>
    <row r="8" spans="1:13">
      <c r="A8" s="2" t="s">
        <v>0</v>
      </c>
      <c r="B8" s="2">
        <v>10</v>
      </c>
      <c r="C8" s="2">
        <v>20</v>
      </c>
      <c r="D8" s="2">
        <v>30</v>
      </c>
      <c r="E8" s="2">
        <v>40</v>
      </c>
      <c r="F8" s="2">
        <v>50</v>
      </c>
      <c r="G8" s="2">
        <v>60</v>
      </c>
      <c r="H8" s="2">
        <v>70</v>
      </c>
      <c r="I8" s="2">
        <v>80</v>
      </c>
      <c r="J8" s="2">
        <v>90</v>
      </c>
      <c r="K8" s="2">
        <v>100</v>
      </c>
      <c r="L8" s="2" t="s">
        <v>1</v>
      </c>
      <c r="M8" s="5" t="s">
        <v>9</v>
      </c>
    </row>
    <row r="9" spans="1:14">
      <c r="A9" s="2" t="s">
        <v>4</v>
      </c>
      <c r="B9" s="3">
        <v>0.0300636445322344</v>
      </c>
      <c r="C9" s="3">
        <v>0.00504692908256284</v>
      </c>
      <c r="D9" s="3">
        <v>0.0049961382342923</v>
      </c>
      <c r="E9" s="3">
        <v>0.00503447747999622</v>
      </c>
      <c r="F9" s="3">
        <v>0.00500150649778304</v>
      </c>
      <c r="G9" s="3">
        <v>0.00502616359341529</v>
      </c>
      <c r="H9" s="3">
        <v>0.00502598670221144</v>
      </c>
      <c r="I9" s="3">
        <v>0.00503956887029832</v>
      </c>
      <c r="J9" s="3">
        <v>0.00502172593147523</v>
      </c>
      <c r="K9" s="3">
        <v>0.00503418522496377</v>
      </c>
      <c r="L9" s="3">
        <f>AVERAGEA(B9:K9)</f>
        <v>0.00752903261492328</v>
      </c>
      <c r="M9" s="4">
        <f>1000*L9</f>
        <v>7.52903261492328</v>
      </c>
      <c r="N9" s="1">
        <v>337</v>
      </c>
    </row>
    <row r="10" spans="1:14">
      <c r="A10" s="2" t="s">
        <v>5</v>
      </c>
      <c r="B10" s="3">
        <v>0.00779397256912723</v>
      </c>
      <c r="C10" s="3">
        <v>0.00766946423438287</v>
      </c>
      <c r="D10" s="3">
        <v>0.00770726511555333</v>
      </c>
      <c r="E10" s="3">
        <v>0.00751996040344238</v>
      </c>
      <c r="F10" s="3">
        <v>0.00757134345269972</v>
      </c>
      <c r="G10" s="3">
        <v>0.00762788711055632</v>
      </c>
      <c r="H10" s="3">
        <v>0.00767687828310074</v>
      </c>
      <c r="I10" s="3">
        <v>0.00772913809745542</v>
      </c>
      <c r="J10" s="3">
        <v>0.00755786895751953</v>
      </c>
      <c r="K10" s="3">
        <v>0.00758628691396405</v>
      </c>
      <c r="L10" s="3">
        <f>AVERAGEA(B10:K10)</f>
        <v>0.00764400651378016</v>
      </c>
      <c r="M10" s="4">
        <f>1000*L10</f>
        <v>7.64400651378016</v>
      </c>
      <c r="N10" s="1">
        <v>15</v>
      </c>
    </row>
    <row r="11" spans="1:14">
      <c r="A11" s="2" t="s">
        <v>6</v>
      </c>
      <c r="B11" s="3">
        <v>0.0055122144760624</v>
      </c>
      <c r="C11" s="3">
        <v>0.00546187739218435</v>
      </c>
      <c r="D11" s="3">
        <v>0.0054863037601594</v>
      </c>
      <c r="E11" s="3">
        <v>0.00546861463977444</v>
      </c>
      <c r="F11" s="3">
        <v>0.00541120959866431</v>
      </c>
      <c r="G11" s="3">
        <v>0.00555416076414046</v>
      </c>
      <c r="H11" s="3">
        <v>0.00549794781592584</v>
      </c>
      <c r="I11" s="3">
        <v>0.00560409792007938</v>
      </c>
      <c r="J11" s="3">
        <v>0.0055753723267586</v>
      </c>
      <c r="K11" s="3">
        <v>0.00552958057772728</v>
      </c>
      <c r="L11" s="3">
        <f>AVERAGEA(B11:K11)</f>
        <v>0.00551013792714765</v>
      </c>
      <c r="M11" s="4">
        <f>1000*L11</f>
        <v>5.51013792714765</v>
      </c>
      <c r="N11" s="1">
        <v>4.4</v>
      </c>
    </row>
    <row r="12" spans="1:14">
      <c r="A12" s="2" t="s">
        <v>7</v>
      </c>
      <c r="B12" s="3">
        <v>0.00414470703371109</v>
      </c>
      <c r="C12" s="3">
        <v>0.00412276483351184</v>
      </c>
      <c r="D12" s="3">
        <v>0.0041199961016255</v>
      </c>
      <c r="E12" s="3">
        <v>0.00411567380351405</v>
      </c>
      <c r="F12" s="3">
        <v>0.00412854071586362</v>
      </c>
      <c r="G12" s="3">
        <v>0.00411079775902532</v>
      </c>
      <c r="H12" s="3">
        <v>0.00410838280954668</v>
      </c>
      <c r="I12" s="3">
        <v>0.00412546434710102</v>
      </c>
      <c r="J12" s="3">
        <v>0.00410415280249811</v>
      </c>
      <c r="K12" s="3">
        <v>0.00410529874986217</v>
      </c>
      <c r="L12" s="3">
        <f>AVERAGEA(B12:K12)</f>
        <v>0.00411857789562594</v>
      </c>
      <c r="M12" s="4">
        <f>1000*L12</f>
        <v>4.11857789562594</v>
      </c>
      <c r="N12" s="1">
        <v>1.2</v>
      </c>
    </row>
    <row r="13" spans="1:13">
      <c r="A13" s="2" t="s">
        <v>8</v>
      </c>
      <c r="B13" s="3">
        <v>9.28525001771988e-5</v>
      </c>
      <c r="C13" s="3">
        <v>7.270997570407e-5</v>
      </c>
      <c r="D13" s="3">
        <v>7.2617684641192e-5</v>
      </c>
      <c r="E13" s="3">
        <v>7.15717192619077e-5</v>
      </c>
      <c r="F13" s="3">
        <v>7.42327782415574e-5</v>
      </c>
      <c r="G13" s="3">
        <v>7.18716652162613e-5</v>
      </c>
      <c r="H13" s="3">
        <v>7.30406853460496e-5</v>
      </c>
      <c r="I13" s="3">
        <v>7.2602302797379e-5</v>
      </c>
      <c r="J13" s="3">
        <v>7.38559230681388e-5</v>
      </c>
      <c r="K13" s="3">
        <v>7.16101738714402e-5</v>
      </c>
      <c r="L13" s="4">
        <f>AVERAGEA(B13:K13)</f>
        <v>7.46965408325195e-5</v>
      </c>
      <c r="M13" s="4">
        <f>1000*L13</f>
        <v>0.0746965408325195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吴伯涛</cp:lastModifiedBy>
  <dcterms:created xsi:type="dcterms:W3CDTF">2015-06-08T02:19:00Z</dcterms:created>
  <dcterms:modified xsi:type="dcterms:W3CDTF">2025-06-03T19:30:44Z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20267A24DFF7C87461A82E6835EB2281_42</vt:lpwstr>
  </property>
  <property fmtid="{D5CDD505-2E9C-101B-9397-08002B2CF9AE}" pid="3" name="KSOProductBuildVer">
    <vt:lpwstr>2052-6.12.1.8902</vt:lpwstr>
  </property>
</Properties>
</file>