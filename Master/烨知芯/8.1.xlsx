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180" activeTab="2"/>
  </bookViews>
  <sheets>
    <sheet name="full" sheetId="1" r:id="rId1"/>
    <sheet name="fullshot" sheetId="3" r:id="rId2"/>
    <sheet name="fewshot" sheetId="4" r:id="rId3"/>
    <sheet name="Sheet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<sst xmlns="http://schemas.openxmlformats.org/spreadsheetml/2006/main" count="24" uniqueCount="13">
  <si>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CNN</t>
  </si>
  <si>
    <t>RNN</t>
  </si>
  <si>
    <t>LSTM</t>
  </si>
  <si>
    <t>Transofmer</t>
  </si>
  <si>
    <t>LLM4CP</t>
  </si>
  <si>
    <t>X</t>
  </si>
  <si>
    <t>CPVLM</t>
  </si>
  <si>
    <t>Transformer</t>
  </si>
  <si>
    <t>cnn</t>
  </si>
  <si>
    <t>rnn</t>
  </si>
  <si>
    <t>lstm</t>
  </si>
  <si>
    <t>transformer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</si>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</sst>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0_ ;_ * \-#,##0.000_ ;_ * &quot;-&quot;??.0_ ;_ @_ "/>
    <numFmt numFmtId="177" formatCode="0.000_ "/>
  </numFmts>
  <fonts count="2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76" fontId="1" fillId="0" borderId="0" xfId="0" applyNumberFormat="1" applyFont="1" applyAlignment="1">
      <alignment vertical="center" wrapText="1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2" borderId="0" xfId="3" applyNumberFormat="1" applyFont="1" applyFill="1" applyAlignment="1">
      <alignment horizontal="left" vertical="center" wrapText="1"/>
    </xf>
    <xf numFmtId="176" fontId="1" fillId="0" borderId="0" xfId="3" applyNumberFormat="1" applyFont="1" applyAlignment="1">
      <alignment vertical="center" wrapText="1"/>
    </xf>
    <xf numFmtId="176" fontId="1" fillId="0" borderId="0" xfId="3" applyNumberFormat="1" applyFont="1" applyAlignment="1">
      <alignment horizontal="left" vertical="center" wrapText="1"/>
    </xf>
    <xf numFmtId="176" fontId="1" fillId="0" borderId="0" xfId="3" applyNumberFormat="1" applyFont="1" applyAlignment="1">
      <alignment horizontal="left" vertical="center" wrapText="1"/>
    </xf>
    <xf numFmtId="176" fontId="1" fillId="0" borderId="0" xfId="3" applyNumberFormat="1" applyFont="1" applyAlignment="1">
      <alignment horizontal="left" vertical="center"/>
    </xf>
    <xf numFmtId="176" fontId="1" fillId="2" borderId="0" xfId="3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3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zoomScale="81" zoomScaleNormal="81" zoomScaleSheetLayoutView="60" workbookViewId="0">
      <selection activeCell="C2" sqref="C2:D17"/>
    </sheetView>
  </sheetViews>
  <sheetFormatPr defaultColWidth="10.3846153846154" defaultRowHeight="28.8"/>
  <cols>
    <col min="1" max="1" width="31.2596153846154" style="15" customWidth="1"/>
    <col min="2" max="2" width="23.9423076923077" style="15" customWidth="1"/>
    <col min="3" max="3" width="24.5288461538462" style="15" customWidth="1"/>
    <col min="4" max="4" width="23.7403846153846" style="15" customWidth="1"/>
    <col min="5" max="5" width="15.8173076923077" style="15" customWidth="1"/>
    <col min="6" max="6" width="16.2211538461538" style="15" customWidth="1"/>
    <col min="7" max="7" width="22.1538461538462" style="15" customWidth="1"/>
    <col min="8" max="8" width="22.7692307692308" style="15"/>
    <col min="9" max="9" width="21.5673076923077" style="15" customWidth="1"/>
    <col min="10" max="12" width="22.7692307692308" style="15"/>
    <col min="13" max="13" width="24.9230769230769" style="15"/>
    <col min="14" max="14" width="12.1538461538462" style="15"/>
    <col min="15" max="16384" width="10.3846153846154" style="15"/>
  </cols>
  <sheetData>
    <row r="1" spans="1:13">
      <c r="A1" s="12"/>
      <c r="B1" s="12"/>
      <c r="C1" s="12" t="s">
        <v>0</v>
      </c>
      <c r="D1" s="12"/>
      <c r="E1" s="12" t="s">
        <v>1</v>
      </c>
      <c r="F1" s="12"/>
      <c r="G1" s="12" t="s">
        <v>2</v>
      </c>
      <c r="H1" s="12"/>
      <c r="I1" s="12" t="s">
        <v>3</v>
      </c>
      <c r="J1" s="12"/>
      <c r="K1" s="12" t="s">
        <v>4</v>
      </c>
      <c r="L1" s="12"/>
      <c r="M1" s="17"/>
    </row>
    <row r="2" s="14" customFormat="1" spans="1:14">
      <c r="A2" s="13">
        <v>30</v>
      </c>
      <c r="B2" s="8">
        <v>5</v>
      </c>
      <c r="C2" s="8">
        <v>0.0186457570217844</v>
      </c>
      <c r="D2" s="8">
        <v>0.958751746691115</v>
      </c>
      <c r="E2" s="8">
        <v>0.0118021988082103</v>
      </c>
      <c r="F2" s="9">
        <v>0.971899507035451</v>
      </c>
      <c r="G2" s="8">
        <f t="shared" ref="G2:G6" si="0">AVERAGE(E2,C2,I2)</f>
        <v>0.0182757832578981</v>
      </c>
      <c r="H2" s="8">
        <f>AVERAGE(F2,D2,J2)</f>
        <v>0.963526366457716</v>
      </c>
      <c r="I2" s="8">
        <v>0.0243793939436996</v>
      </c>
      <c r="J2" s="13">
        <v>0.959927845646581</v>
      </c>
      <c r="K2" s="10">
        <v>0.095776181951784</v>
      </c>
      <c r="L2" s="10">
        <v>0.836715579958157</v>
      </c>
      <c r="M2" s="17">
        <f>AVERAGE(K2,I2,G2,K2)</f>
        <v>0.0585518852762914</v>
      </c>
      <c r="N2" s="17">
        <f>AVERAGE(L2,J2,H2,L2)</f>
        <v>0.899221343005153</v>
      </c>
    </row>
    <row r="3" spans="1:14">
      <c r="A3" s="12"/>
      <c r="B3" s="11">
        <v>8</v>
      </c>
      <c r="C3" s="10">
        <v>0.0137167947199273</v>
      </c>
      <c r="D3" s="10">
        <v>0.965469726211112</v>
      </c>
      <c r="E3" s="11">
        <v>0.00597377187197471</v>
      </c>
      <c r="F3" s="11">
        <v>0.987426451416016</v>
      </c>
      <c r="G3" s="10">
        <v>0.0161248874067959</v>
      </c>
      <c r="H3" s="10">
        <v>0.968305686519093</v>
      </c>
      <c r="I3" s="10">
        <v>0.0274823620501884</v>
      </c>
      <c r="J3" s="12">
        <v>0.953051963395807</v>
      </c>
      <c r="K3" s="10">
        <v>0.0762172743805281</v>
      </c>
      <c r="L3" s="12">
        <v>0.867828073638135</v>
      </c>
      <c r="M3" s="17">
        <f t="shared" ref="M3:M17" si="1">AVERAGE(K3,I3,G3,K3)</f>
        <v>0.0490104495545101</v>
      </c>
      <c r="N3" s="17">
        <f>AVERAGE(L3,J3,H3,L3)</f>
        <v>0.914253449297793</v>
      </c>
    </row>
    <row r="4" spans="1:14">
      <c r="A4" s="12"/>
      <c r="B4" s="11">
        <v>10</v>
      </c>
      <c r="C4" s="11">
        <v>0.0141660488164761</v>
      </c>
      <c r="D4" s="11">
        <v>0.967075404206269</v>
      </c>
      <c r="E4" s="11">
        <v>0.00515134971874012</v>
      </c>
      <c r="F4" s="11">
        <v>0.98841038363062</v>
      </c>
      <c r="G4" s="8">
        <f t="shared" si="0"/>
        <v>0.0170877051006762</v>
      </c>
      <c r="H4" s="8">
        <f>AVERAGE(F4,D4,J4)</f>
        <v>0.970159805999596</v>
      </c>
      <c r="I4" s="12">
        <v>0.0319457167668124</v>
      </c>
      <c r="J4" s="10">
        <v>0.954993630161898</v>
      </c>
      <c r="K4" s="10">
        <v>0.0746394012469551</v>
      </c>
      <c r="L4" s="10">
        <v>0.869813500738187</v>
      </c>
      <c r="M4" s="17">
        <f t="shared" si="1"/>
        <v>0.0495780560903497</v>
      </c>
      <c r="N4" s="17">
        <f>AVERAGE(L4,J4,H4,L4)</f>
        <v>0.916195109409467</v>
      </c>
    </row>
    <row r="5" ht="55" customHeight="1" spans="1:14">
      <c r="A5" s="12"/>
      <c r="B5" s="11">
        <v>16</v>
      </c>
      <c r="C5" s="9">
        <v>0.0215133015330091</v>
      </c>
      <c r="D5" s="11">
        <v>0.97509483948513</v>
      </c>
      <c r="E5" s="11">
        <v>0.0055383541257533</v>
      </c>
      <c r="F5" s="11">
        <v>0.987630016786715</v>
      </c>
      <c r="G5" s="9">
        <v>0.0257679038261034</v>
      </c>
      <c r="H5" s="9">
        <v>0.946261298046031</v>
      </c>
      <c r="I5" s="10">
        <v>0.0404216108299582</v>
      </c>
      <c r="J5" s="10">
        <v>0.945702326711929</v>
      </c>
      <c r="K5" s="10">
        <v>0.0915115622377227</v>
      </c>
      <c r="L5" s="10">
        <v>0.848636014956748</v>
      </c>
      <c r="M5" s="17">
        <f t="shared" si="1"/>
        <v>0.0623031597828767</v>
      </c>
      <c r="N5" s="17">
        <f>AVERAGE(L5,J5,H5,L5)</f>
        <v>0.897308913667864</v>
      </c>
    </row>
    <row r="6" s="14" customFormat="1" ht="36" customHeight="1" spans="1:14">
      <c r="A6" s="13">
        <v>60</v>
      </c>
      <c r="B6" s="8">
        <v>5</v>
      </c>
      <c r="C6" s="8">
        <v>0.150698384599222</v>
      </c>
      <c r="D6" s="8">
        <v>0.751570038139841</v>
      </c>
      <c r="E6" s="8">
        <v>0.119515663553935</v>
      </c>
      <c r="F6" s="8">
        <v>0.775695455928094</v>
      </c>
      <c r="G6" s="8">
        <f t="shared" si="0"/>
        <v>0.136694918723915</v>
      </c>
      <c r="H6" s="8">
        <f t="shared" ref="H6:H10" si="2">AVERAGE(F6,D6,J6)</f>
        <v>0.764515717498308</v>
      </c>
      <c r="I6" s="13">
        <v>0.139870708018587</v>
      </c>
      <c r="J6" s="10">
        <v>0.76628165842699</v>
      </c>
      <c r="K6" s="8">
        <v>0.206588454584088</v>
      </c>
      <c r="L6" s="10">
        <v>0.687604822905522</v>
      </c>
      <c r="M6" s="17">
        <f t="shared" si="1"/>
        <v>0.172435633977669</v>
      </c>
      <c r="N6" s="17">
        <f>AVERAGE(L6,J6,H6,L6)</f>
        <v>0.726501755434086</v>
      </c>
    </row>
    <row r="7" spans="1:14">
      <c r="A7" s="12"/>
      <c r="B7" s="11">
        <v>8</v>
      </c>
      <c r="C7" s="10">
        <v>0.150379141735356</v>
      </c>
      <c r="D7" s="10">
        <v>0.744163622771871</v>
      </c>
      <c r="E7" s="10">
        <v>0.121503655420121</v>
      </c>
      <c r="F7" s="10">
        <v>0.771354663792457</v>
      </c>
      <c r="G7" s="10">
        <v>0.126764135800997</v>
      </c>
      <c r="H7" s="10">
        <v>0.778213070321731</v>
      </c>
      <c r="I7" s="10">
        <v>0.13419954969724</v>
      </c>
      <c r="J7" s="10">
        <v>0.771078002665704</v>
      </c>
      <c r="K7" s="10">
        <v>0.192869954889554</v>
      </c>
      <c r="L7" s="10">
        <v>0.697762974268945</v>
      </c>
      <c r="M7" s="17">
        <f t="shared" si="1"/>
        <v>0.161675898819336</v>
      </c>
      <c r="N7" s="17">
        <f>AVERAGE(L7,J7,H7,L7)</f>
        <v>0.736204255381331</v>
      </c>
    </row>
    <row r="8" spans="1:14">
      <c r="A8" s="12"/>
      <c r="B8" s="11">
        <v>10</v>
      </c>
      <c r="C8" s="11">
        <v>0.146868507826528</v>
      </c>
      <c r="D8" s="11">
        <v>0.765295598568157</v>
      </c>
      <c r="E8" s="11">
        <v>0.125778812985104</v>
      </c>
      <c r="F8" s="12">
        <v>0.763892667703201</v>
      </c>
      <c r="G8" s="8">
        <f>AVERAGE(E8,C8,I8)</f>
        <v>0.134173688522066</v>
      </c>
      <c r="H8" s="8">
        <f t="shared" si="2"/>
        <v>0.772186481010953</v>
      </c>
      <c r="I8" s="10">
        <v>0.129873744754567</v>
      </c>
      <c r="J8" s="12">
        <v>0.787371176761502</v>
      </c>
      <c r="K8" s="10">
        <v>0.188150380710752</v>
      </c>
      <c r="L8" s="10">
        <v>0.701708588855536</v>
      </c>
      <c r="M8" s="17">
        <f t="shared" si="1"/>
        <v>0.160087048674534</v>
      </c>
      <c r="N8" s="17">
        <f>AVERAGE(L8,J8,H8,L8)</f>
        <v>0.740743708870882</v>
      </c>
    </row>
    <row r="9" spans="1:14">
      <c r="A9" s="12"/>
      <c r="B9" s="11">
        <v>16</v>
      </c>
      <c r="C9" s="11">
        <v>0.168787132261372</v>
      </c>
      <c r="D9" s="11">
        <v>0.74498763505218</v>
      </c>
      <c r="E9" s="11">
        <v>0.137044413129986</v>
      </c>
      <c r="F9" s="9">
        <v>0.744587380163695</v>
      </c>
      <c r="G9" s="9">
        <v>0.135056897316339</v>
      </c>
      <c r="H9" s="9">
        <v>0.776696048825108</v>
      </c>
      <c r="I9" s="10">
        <v>0.145022459961967</v>
      </c>
      <c r="J9" s="12">
        <v>0.767829327932289</v>
      </c>
      <c r="K9" s="10">
        <v>0.203423129882359</v>
      </c>
      <c r="L9" s="10">
        <v>0.694945872285233</v>
      </c>
      <c r="M9" s="17">
        <f t="shared" si="1"/>
        <v>0.171731404260756</v>
      </c>
      <c r="N9" s="17">
        <f>AVERAGE(L9,J9,H9,L9)</f>
        <v>0.733604280331966</v>
      </c>
    </row>
    <row r="10" s="14" customFormat="1" spans="1:14">
      <c r="A10" s="13">
        <v>120</v>
      </c>
      <c r="B10" s="8">
        <v>5</v>
      </c>
      <c r="C10" s="8">
        <v>0.193219923217901</v>
      </c>
      <c r="D10" s="8">
        <v>0.699400737093944</v>
      </c>
      <c r="E10" s="8">
        <v>0.176033071822578</v>
      </c>
      <c r="F10" s="13">
        <v>0.707311316088963</v>
      </c>
      <c r="G10" s="8">
        <f t="shared" ref="G10:G14" si="3">AVERAGE(E10,C10,I10)</f>
        <v>0.183726818332497</v>
      </c>
      <c r="H10" s="8">
        <f t="shared" si="2"/>
        <v>0.70941281669898</v>
      </c>
      <c r="I10" s="10">
        <v>0.181927459957012</v>
      </c>
      <c r="J10" s="13">
        <v>0.721526396914032</v>
      </c>
      <c r="K10" s="8">
        <v>0.240578198051973</v>
      </c>
      <c r="L10" s="10">
        <v>0.649797378782218</v>
      </c>
      <c r="M10" s="17">
        <f t="shared" si="1"/>
        <v>0.211702668598364</v>
      </c>
      <c r="N10" s="17">
        <f>AVERAGE(L10,J10,H10,L10)</f>
        <v>0.682633492794362</v>
      </c>
    </row>
    <row r="11" spans="1:14">
      <c r="A11" s="12"/>
      <c r="B11" s="11">
        <v>8</v>
      </c>
      <c r="C11" s="10">
        <v>0.191571393228358</v>
      </c>
      <c r="D11" s="12">
        <v>0.692144419238661</v>
      </c>
      <c r="E11" s="10">
        <v>0.174503595560899</v>
      </c>
      <c r="F11" s="12">
        <v>0.707876184827422</v>
      </c>
      <c r="G11" s="10">
        <v>0.166331020986485</v>
      </c>
      <c r="H11" s="10">
        <v>0.722523132530907</v>
      </c>
      <c r="I11" s="12">
        <v>0.172906769832104</v>
      </c>
      <c r="J11" s="10">
        <v>0.728487534228444</v>
      </c>
      <c r="K11" s="10">
        <v>0.215268763720679</v>
      </c>
      <c r="L11" s="12">
        <v>0.663452957232083</v>
      </c>
      <c r="M11" s="17">
        <f t="shared" si="1"/>
        <v>0.192443829564987</v>
      </c>
      <c r="N11" s="17">
        <f>AVERAGE(L11,J11,H11,L11)</f>
        <v>0.694479145305879</v>
      </c>
    </row>
    <row r="12" spans="1:14">
      <c r="A12" s="12"/>
      <c r="B12" s="11">
        <v>10</v>
      </c>
      <c r="C12" s="12">
        <v>0.188023806985653</v>
      </c>
      <c r="D12" s="12">
        <v>0.698238543240963</v>
      </c>
      <c r="E12" s="12">
        <v>0.173965627747411</v>
      </c>
      <c r="F12" s="12">
        <v>0.701671253517519</v>
      </c>
      <c r="G12" s="8">
        <f t="shared" si="3"/>
        <v>0.178141958822081</v>
      </c>
      <c r="H12" s="8">
        <f>AVERAGE(F12,D12,J12)</f>
        <v>0.710605024555083</v>
      </c>
      <c r="I12" s="10">
        <v>0.172436441733179</v>
      </c>
      <c r="J12" s="10">
        <v>0.731905276906766</v>
      </c>
      <c r="K12" s="12">
        <v>0.209368519810011</v>
      </c>
      <c r="L12" s="10">
        <v>0.671885792469731</v>
      </c>
      <c r="M12" s="17">
        <f t="shared" si="1"/>
        <v>0.192328860043821</v>
      </c>
      <c r="N12" s="17">
        <f>AVERAGE(L12,J12,H12,L12)</f>
        <v>0.696570471600328</v>
      </c>
    </row>
    <row r="13" spans="1:14">
      <c r="A13" s="12"/>
      <c r="B13" s="11">
        <v>16</v>
      </c>
      <c r="C13" s="12">
        <v>0.202117069351919</v>
      </c>
      <c r="D13" s="12">
        <v>0.695962497084956</v>
      </c>
      <c r="E13" s="12">
        <v>0.17799434924431</v>
      </c>
      <c r="F13" s="12">
        <v>0.70279085969951</v>
      </c>
      <c r="G13" s="9">
        <v>0.168980600492762</v>
      </c>
      <c r="H13" s="9">
        <v>0.718547558545668</v>
      </c>
      <c r="I13" s="12">
        <v>0.186422723823447</v>
      </c>
      <c r="J13" s="12">
        <v>0.724465886931474</v>
      </c>
      <c r="K13" s="12">
        <v>0.212472530806503</v>
      </c>
      <c r="L13" s="10">
        <v>0.667779953738166</v>
      </c>
      <c r="M13" s="17">
        <f t="shared" si="1"/>
        <v>0.195087096482304</v>
      </c>
      <c r="N13" s="17">
        <f>AVERAGE(L13,J13,H13,L13)</f>
        <v>0.694643338238369</v>
      </c>
    </row>
    <row r="14" s="14" customFormat="1" spans="1:14">
      <c r="A14" s="13" t="s">
        <v>5</v>
      </c>
      <c r="B14" s="8">
        <v>5</v>
      </c>
      <c r="C14" s="13">
        <v>0.144353248186689</v>
      </c>
      <c r="D14" s="13">
        <v>0.775096917643691</v>
      </c>
      <c r="E14" s="13">
        <v>0.116072188439386</v>
      </c>
      <c r="F14" s="9">
        <v>0.801795295791044</v>
      </c>
      <c r="G14" s="8">
        <f t="shared" si="3"/>
        <v>0.133413436940965</v>
      </c>
      <c r="H14" s="8">
        <f>AVERAGE(F14,D14,J14)</f>
        <v>0.78833315064182</v>
      </c>
      <c r="I14" s="13">
        <v>0.139814874196821</v>
      </c>
      <c r="J14" s="13">
        <v>0.788107238490726</v>
      </c>
      <c r="K14" s="10">
        <v>0.197923101580677</v>
      </c>
      <c r="L14" s="10">
        <v>0.708323342518104</v>
      </c>
      <c r="M14" s="17">
        <f t="shared" si="1"/>
        <v>0.167268628574785</v>
      </c>
      <c r="N14" s="17">
        <f>AVERAGE(L14,J14,H14,L14)</f>
        <v>0.748271768542189</v>
      </c>
    </row>
    <row r="15" spans="1:14">
      <c r="A15" s="12"/>
      <c r="B15" s="11">
        <v>8</v>
      </c>
      <c r="C15" s="12">
        <v>0.141473786608651</v>
      </c>
      <c r="D15" s="10">
        <v>0.783664731987794</v>
      </c>
      <c r="E15" s="10">
        <v>0.114413793518694</v>
      </c>
      <c r="F15" s="10">
        <v>0.791960487234974</v>
      </c>
      <c r="G15" s="10">
        <v>0.118696090658239</v>
      </c>
      <c r="H15" s="10">
        <v>0.802583357766631</v>
      </c>
      <c r="I15" s="10">
        <v>0.133209724904385</v>
      </c>
      <c r="J15" s="10">
        <v>0.791960487234974</v>
      </c>
      <c r="K15" s="10">
        <v>0.17840333210405</v>
      </c>
      <c r="L15" s="12">
        <v>0.721629668569756</v>
      </c>
      <c r="M15" s="17">
        <f t="shared" si="1"/>
        <v>0.152178119942681</v>
      </c>
      <c r="N15" s="17">
        <f>AVERAGE(L15,J15,H15,L15)</f>
        <v>0.759450795535279</v>
      </c>
    </row>
    <row r="16" spans="1:14">
      <c r="A16" s="12"/>
      <c r="B16" s="11">
        <v>10</v>
      </c>
      <c r="C16" s="9">
        <v>0.143333379675201</v>
      </c>
      <c r="D16" s="12">
        <v>0.790737000620556</v>
      </c>
      <c r="E16" s="9">
        <v>0.118466295725901</v>
      </c>
      <c r="F16" s="12">
        <v>0.786958131476397</v>
      </c>
      <c r="G16" s="8">
        <f>AVERAGE(E16,C16,I16)</f>
        <v>0.13134187651399</v>
      </c>
      <c r="H16" s="8">
        <f>AVERAGE(F16,D16,J16)</f>
        <v>0.79121006731261</v>
      </c>
      <c r="I16" s="10">
        <v>0.132225954140868</v>
      </c>
      <c r="J16" s="10">
        <v>0.795935069840878</v>
      </c>
      <c r="K16" s="10">
        <v>0.174387966554449</v>
      </c>
      <c r="L16" s="12">
        <v>0.719414892664847</v>
      </c>
      <c r="M16" s="17">
        <f t="shared" si="1"/>
        <v>0.153085940940939</v>
      </c>
      <c r="N16" s="17">
        <f>AVERAGE(L16,J16,H16,L16)</f>
        <v>0.756493730620796</v>
      </c>
    </row>
    <row r="17" spans="1:14">
      <c r="A17" s="12"/>
      <c r="B17" s="11">
        <v>16</v>
      </c>
      <c r="C17" s="12">
        <v>0.155794291102367</v>
      </c>
      <c r="D17" s="12">
        <v>0.778403222309646</v>
      </c>
      <c r="E17" s="12">
        <v>0.131342638088591</v>
      </c>
      <c r="F17" s="12">
        <v>0.775435248491319</v>
      </c>
      <c r="G17" s="8">
        <f>AVERAGE(E17,C17,I17)</f>
        <v>0.142945536493616</v>
      </c>
      <c r="H17" s="9">
        <v>0.798143621486925</v>
      </c>
      <c r="I17" s="10">
        <v>0.14169968028989</v>
      </c>
      <c r="J17" s="10">
        <v>0.773506911953702</v>
      </c>
      <c r="K17" s="10">
        <v>0.183656574708371</v>
      </c>
      <c r="L17" s="10">
        <v>0.710580890375293</v>
      </c>
      <c r="M17" s="17">
        <f t="shared" si="1"/>
        <v>0.162989591550062</v>
      </c>
      <c r="N17" s="17">
        <f>AVERAGE(L17,J17,H17,L17)</f>
        <v>0.748203078547803</v>
      </c>
    </row>
    <row r="18" spans="1:14">
      <c r="A18" s="16"/>
      <c r="B18" s="16"/>
      <c r="C18" s="16">
        <f>AVERAGE(C2:C17)</f>
        <v>0.127791372929401</v>
      </c>
      <c r="D18" s="16">
        <f>AVERAGE(D2:D17)</f>
        <v>0.799128542521618</v>
      </c>
      <c r="E18" s="16">
        <f>AVERAGE(E2:E17)</f>
        <v>0.1071937362351</v>
      </c>
      <c r="F18" s="16">
        <f>AVERAGE(F2:F17)</f>
        <v>0.810418456473962</v>
      </c>
      <c r="G18" s="16">
        <f>AVERAGE(G2:G17)</f>
        <v>0.114595203699714</v>
      </c>
      <c r="H18" s="16">
        <f>AVERAGE(H2:H17)</f>
        <v>0.811326450263573</v>
      </c>
      <c r="I18" s="16">
        <f>AVERAGE(I2:I17)</f>
        <v>0.120864948431295</v>
      </c>
      <c r="J18" s="16">
        <f>AVERAGE(J2:J17)</f>
        <v>0.810133170887731</v>
      </c>
      <c r="K18" s="16">
        <f>AVERAGE(K2:K17)</f>
        <v>0.171327207951279</v>
      </c>
      <c r="L18" s="16">
        <f>AVERAGE(L2:L17)</f>
        <v>0.732367518997291</v>
      </c>
      <c r="M18" s="16">
        <f>AVERAGE(M2:M17)</f>
        <v>0.144528642008392</v>
      </c>
      <c r="N18" s="16">
        <f>AVERAGE(N2:N17)</f>
        <v>0.771548664786472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H17" sqref="H17"/>
    </sheetView>
  </sheetViews>
  <sheetFormatPr defaultColWidth="9.23076923076923" defaultRowHeight="16.8"/>
  <cols>
    <col min="1" max="1" width="15.7019230769231" customWidth="1"/>
    <col min="2" max="2" width="17.2980769230769" customWidth="1"/>
    <col min="3" max="3" width="15.0576923076923" customWidth="1"/>
    <col min="4" max="4" width="19.0673076923077" customWidth="1"/>
    <col min="5" max="5" width="14.1057692307692" customWidth="1"/>
    <col min="6" max="6" width="12.8076923076923" customWidth="1"/>
    <col min="7" max="7" width="11.375" customWidth="1"/>
    <col min="8" max="8" width="21.9519230769231" customWidth="1"/>
    <col min="9" max="9" width="16.0192307692308" customWidth="1"/>
    <col min="10" max="10" width="19.3846153846154" customWidth="1"/>
    <col min="11" max="11" width="18.2596153846154" customWidth="1"/>
    <col min="12" max="12" width="16.1730769230769" customWidth="1"/>
  </cols>
  <sheetData>
    <row r="1" ht="44" customHeight="1" spans="1:9">
      <c r="A1" t="s">
        <v>6</v>
      </c>
      <c r="C1" t="s">
        <v>0</v>
      </c>
      <c r="E1" t="s">
        <v>1</v>
      </c>
      <c r="G1" t="s">
        <v>2</v>
      </c>
      <c r="I1" t="s">
        <v>7</v>
      </c>
    </row>
    <row r="2" ht="28.8" spans="1:12">
      <c r="A2" s="8">
        <v>0.0118021988082103</v>
      </c>
      <c r="B2" s="9">
        <v>0.971899507035451</v>
      </c>
      <c r="C2" s="10">
        <v>0.095776181951784</v>
      </c>
      <c r="D2" s="10">
        <v>0.836715579958157</v>
      </c>
      <c r="E2" s="10">
        <f>AVERAGE(C2,G2,C2)</f>
        <v>0.0700660403084508</v>
      </c>
      <c r="F2" s="10">
        <f>AVERAGE(D2,H2,D2)</f>
        <v>0.877394302202476</v>
      </c>
      <c r="G2" s="8">
        <v>0.0186457570217844</v>
      </c>
      <c r="H2" s="8">
        <v>0.958751746691115</v>
      </c>
      <c r="I2" s="8">
        <v>0.0243793939436996</v>
      </c>
      <c r="J2" s="13">
        <v>0.959927845646581</v>
      </c>
      <c r="K2" s="8">
        <f t="shared" ref="K2:K6" si="0">AVERAGE(I2,G2,M2)</f>
        <v>0.021512575482742</v>
      </c>
      <c r="L2" s="8">
        <f t="shared" ref="L2:L6" si="1">AVERAGE(J2,H2,N2)</f>
        <v>0.959339796168848</v>
      </c>
    </row>
    <row r="3" ht="28.8" spans="1:12">
      <c r="A3" s="11">
        <v>0.00597377187197471</v>
      </c>
      <c r="B3" s="11">
        <v>0.987426451416016</v>
      </c>
      <c r="C3" s="10">
        <v>0.0762172743805281</v>
      </c>
      <c r="D3" s="12">
        <v>0.867828073638135</v>
      </c>
      <c r="E3" s="10">
        <f t="shared" ref="E3:E17" si="2">AVERAGE(C3,G3,C3)</f>
        <v>0.0553837811603278</v>
      </c>
      <c r="F3" s="10">
        <f t="shared" ref="F3:F17" si="3">AVERAGE(D3,H3,D3)</f>
        <v>0.900375291162461</v>
      </c>
      <c r="G3" s="10">
        <v>0.0137167947199273</v>
      </c>
      <c r="H3" s="10">
        <v>0.965469726211112</v>
      </c>
      <c r="I3" s="10">
        <v>0.0274823620501884</v>
      </c>
      <c r="J3" s="12">
        <v>0.953051963395807</v>
      </c>
      <c r="K3" s="10">
        <v>0.0161248874067959</v>
      </c>
      <c r="L3" s="10">
        <v>0.968305686519093</v>
      </c>
    </row>
    <row r="4" ht="28.8" spans="1:12">
      <c r="A4" s="11">
        <v>0.00515134971874012</v>
      </c>
      <c r="B4" s="11">
        <v>0.98841038363062</v>
      </c>
      <c r="C4" s="10">
        <v>0.0746394012469551</v>
      </c>
      <c r="D4" s="10">
        <v>0.869813500738187</v>
      </c>
      <c r="E4" s="10">
        <f t="shared" si="2"/>
        <v>0.0544816171034621</v>
      </c>
      <c r="F4" s="10">
        <f t="shared" si="3"/>
        <v>0.902234135227548</v>
      </c>
      <c r="G4" s="11">
        <v>0.0141660488164761</v>
      </c>
      <c r="H4" s="11">
        <v>0.967075404206269</v>
      </c>
      <c r="I4" s="12">
        <v>0.0319457167668124</v>
      </c>
      <c r="J4" s="10">
        <v>0.954993630161898</v>
      </c>
      <c r="K4" s="8">
        <f t="shared" si="0"/>
        <v>0.0230558827916442</v>
      </c>
      <c r="L4" s="8">
        <f t="shared" si="1"/>
        <v>0.961034517184084</v>
      </c>
    </row>
    <row r="5" ht="28.8" spans="1:12">
      <c r="A5" s="11">
        <v>0.0055383541257533</v>
      </c>
      <c r="B5" s="11">
        <v>0.987630016786715</v>
      </c>
      <c r="C5" s="10">
        <v>0.0915115622377227</v>
      </c>
      <c r="D5" s="10">
        <v>0.848636014956748</v>
      </c>
      <c r="E5" s="10">
        <f t="shared" si="2"/>
        <v>0.0681788086694848</v>
      </c>
      <c r="F5" s="10">
        <f t="shared" si="3"/>
        <v>0.890788956466209</v>
      </c>
      <c r="G5" s="9">
        <v>0.0215133015330091</v>
      </c>
      <c r="H5" s="11">
        <v>0.97509483948513</v>
      </c>
      <c r="I5" s="10">
        <v>0.0404216108299582</v>
      </c>
      <c r="J5" s="10">
        <v>0.945702326711929</v>
      </c>
      <c r="K5" s="9">
        <v>0.0257679038261034</v>
      </c>
      <c r="L5" s="9">
        <v>0.946261298046031</v>
      </c>
    </row>
    <row r="6" ht="28.8" spans="1:12">
      <c r="A6" s="8">
        <v>0.119515663553935</v>
      </c>
      <c r="B6" s="8">
        <v>0.775695455928094</v>
      </c>
      <c r="C6" s="8">
        <v>0.206588454584088</v>
      </c>
      <c r="D6" s="10">
        <v>0.687604822905522</v>
      </c>
      <c r="E6" s="10">
        <f t="shared" si="2"/>
        <v>0.187958431255799</v>
      </c>
      <c r="F6" s="10">
        <f t="shared" si="3"/>
        <v>0.708926561316962</v>
      </c>
      <c r="G6" s="8">
        <v>0.150698384599222</v>
      </c>
      <c r="H6" s="8">
        <v>0.751570038139841</v>
      </c>
      <c r="I6" s="13">
        <v>0.139870708018587</v>
      </c>
      <c r="J6" s="10">
        <v>0.76628165842699</v>
      </c>
      <c r="K6" s="8">
        <f t="shared" si="0"/>
        <v>0.145284546308904</v>
      </c>
      <c r="L6" s="8">
        <f t="shared" si="1"/>
        <v>0.758925848283416</v>
      </c>
    </row>
    <row r="7" ht="28.8" spans="1:12">
      <c r="A7" s="10">
        <v>0.121503655420121</v>
      </c>
      <c r="B7" s="10">
        <v>0.771354663792457</v>
      </c>
      <c r="C7" s="10">
        <v>0.192869954889554</v>
      </c>
      <c r="D7" s="10">
        <v>0.697762974268945</v>
      </c>
      <c r="E7" s="10">
        <f t="shared" si="2"/>
        <v>0.178706350504821</v>
      </c>
      <c r="F7" s="10">
        <f t="shared" si="3"/>
        <v>0.713229857103254</v>
      </c>
      <c r="G7" s="10">
        <v>0.150379141735356</v>
      </c>
      <c r="H7" s="10">
        <v>0.744163622771871</v>
      </c>
      <c r="I7" s="10">
        <v>0.13419954969724</v>
      </c>
      <c r="J7" s="10">
        <v>0.771078002665704</v>
      </c>
      <c r="K7" s="10">
        <v>0.126764135800997</v>
      </c>
      <c r="L7" s="10">
        <v>0.778213070321731</v>
      </c>
    </row>
    <row r="8" ht="28.8" spans="1:12">
      <c r="A8" s="11">
        <v>0.125778812985104</v>
      </c>
      <c r="B8" s="12">
        <v>0.763892667703201</v>
      </c>
      <c r="C8" s="10">
        <v>0.188150380710752</v>
      </c>
      <c r="D8" s="10">
        <v>0.701708588855536</v>
      </c>
      <c r="E8" s="10">
        <f t="shared" si="2"/>
        <v>0.174389756416011</v>
      </c>
      <c r="F8" s="10">
        <f t="shared" si="3"/>
        <v>0.722904258759743</v>
      </c>
      <c r="G8" s="11">
        <v>0.146868507826528</v>
      </c>
      <c r="H8" s="11">
        <v>0.765295598568157</v>
      </c>
      <c r="I8" s="10">
        <v>0.129873744754567</v>
      </c>
      <c r="J8" s="12">
        <v>0.787371176761502</v>
      </c>
      <c r="K8" s="8">
        <f t="shared" ref="K8:K12" si="4">AVERAGE(I8,G8,M8)</f>
        <v>0.138371126290547</v>
      </c>
      <c r="L8" s="8">
        <f t="shared" ref="L8:L12" si="5">AVERAGE(J8,H8,N8)</f>
        <v>0.77633338766483</v>
      </c>
    </row>
    <row r="9" ht="28.8" spans="1:12">
      <c r="A9" s="11">
        <v>0.137044413129986</v>
      </c>
      <c r="B9" s="9">
        <v>0.744587380163695</v>
      </c>
      <c r="C9" s="10">
        <v>0.203423129882359</v>
      </c>
      <c r="D9" s="10">
        <v>0.694945872285233</v>
      </c>
      <c r="E9" s="10">
        <f t="shared" si="2"/>
        <v>0.19187779734203</v>
      </c>
      <c r="F9" s="10">
        <f t="shared" si="3"/>
        <v>0.711626459874215</v>
      </c>
      <c r="G9" s="11">
        <v>0.168787132261372</v>
      </c>
      <c r="H9" s="11">
        <v>0.74498763505218</v>
      </c>
      <c r="I9" s="10">
        <v>0.145022459961967</v>
      </c>
      <c r="J9" s="12">
        <v>0.767829327932289</v>
      </c>
      <c r="K9" s="9">
        <v>0.135056897316339</v>
      </c>
      <c r="L9" s="9">
        <v>0.776696048825108</v>
      </c>
    </row>
    <row r="10" ht="28.8" spans="1:12">
      <c r="A10" s="8">
        <v>0.176033071822578</v>
      </c>
      <c r="B10" s="13">
        <v>0.707311316088963</v>
      </c>
      <c r="C10" s="8">
        <v>0.240578198051973</v>
      </c>
      <c r="D10" s="10">
        <v>0.649797378782218</v>
      </c>
      <c r="E10" s="10">
        <f t="shared" si="2"/>
        <v>0.224792106440616</v>
      </c>
      <c r="F10" s="10">
        <f t="shared" si="3"/>
        <v>0.666331831552793</v>
      </c>
      <c r="G10" s="8">
        <v>0.193219923217901</v>
      </c>
      <c r="H10" s="8">
        <v>0.699400737093944</v>
      </c>
      <c r="I10" s="10">
        <v>0.181927459957012</v>
      </c>
      <c r="J10" s="13">
        <v>0.721526396914032</v>
      </c>
      <c r="K10" s="8">
        <f t="shared" si="4"/>
        <v>0.187573691587457</v>
      </c>
      <c r="L10" s="8">
        <f t="shared" si="5"/>
        <v>0.710463567003988</v>
      </c>
    </row>
    <row r="11" ht="28.8" spans="1:12">
      <c r="A11" s="10">
        <v>0.174503595560899</v>
      </c>
      <c r="B11" s="12">
        <v>0.707876184827422</v>
      </c>
      <c r="C11" s="10">
        <v>0.215268763720679</v>
      </c>
      <c r="D11" s="12">
        <v>0.663452957232083</v>
      </c>
      <c r="E11" s="10">
        <f t="shared" si="2"/>
        <v>0.207369640223239</v>
      </c>
      <c r="F11" s="10">
        <f t="shared" si="3"/>
        <v>0.673016777900942</v>
      </c>
      <c r="G11" s="10">
        <v>0.191571393228358</v>
      </c>
      <c r="H11" s="12">
        <v>0.692144419238661</v>
      </c>
      <c r="I11" s="12">
        <v>0.172906769832104</v>
      </c>
      <c r="J11" s="10">
        <v>0.728487534228444</v>
      </c>
      <c r="K11" s="10">
        <v>0.166331020986485</v>
      </c>
      <c r="L11" s="10">
        <v>0.722523132530907</v>
      </c>
    </row>
    <row r="12" ht="28.8" spans="1:12">
      <c r="A12" s="12">
        <v>0.173965627747411</v>
      </c>
      <c r="B12" s="12">
        <v>0.701671253517519</v>
      </c>
      <c r="C12" s="12">
        <v>0.209368519810011</v>
      </c>
      <c r="D12" s="10">
        <v>0.671885792469731</v>
      </c>
      <c r="E12" s="10">
        <f t="shared" si="2"/>
        <v>0.202253615535225</v>
      </c>
      <c r="F12" s="10">
        <f t="shared" si="3"/>
        <v>0.680670042726808</v>
      </c>
      <c r="G12" s="12">
        <v>0.188023806985653</v>
      </c>
      <c r="H12" s="12">
        <v>0.698238543240963</v>
      </c>
      <c r="I12" s="10">
        <v>0.172436441733179</v>
      </c>
      <c r="J12" s="10">
        <v>0.731905276906766</v>
      </c>
      <c r="K12" s="8">
        <f t="shared" si="4"/>
        <v>0.180230124359416</v>
      </c>
      <c r="L12" s="8">
        <f t="shared" si="5"/>
        <v>0.715071910073865</v>
      </c>
    </row>
    <row r="13" ht="28.8" spans="1:12">
      <c r="A13" s="12">
        <v>0.17799434924431</v>
      </c>
      <c r="B13" s="12">
        <v>0.70279085969951</v>
      </c>
      <c r="C13" s="12">
        <v>0.212472530806503</v>
      </c>
      <c r="D13" s="10">
        <v>0.667779953738166</v>
      </c>
      <c r="E13" s="10">
        <f t="shared" si="2"/>
        <v>0.209020710321642</v>
      </c>
      <c r="F13" s="10">
        <f t="shared" si="3"/>
        <v>0.677174134853763</v>
      </c>
      <c r="G13" s="12">
        <v>0.202117069351919</v>
      </c>
      <c r="H13" s="12">
        <v>0.695962497084956</v>
      </c>
      <c r="I13" s="12">
        <v>0.186422723823447</v>
      </c>
      <c r="J13" s="12">
        <v>0.724465886931474</v>
      </c>
      <c r="K13" s="9">
        <v>0.168980600492762</v>
      </c>
      <c r="L13" s="9">
        <v>0.718547558545668</v>
      </c>
    </row>
    <row r="14" ht="28.8" spans="1:12">
      <c r="A14" s="13">
        <v>0.116072188439386</v>
      </c>
      <c r="B14" s="9">
        <v>0.801795295791044</v>
      </c>
      <c r="C14" s="10">
        <v>0.197923101580677</v>
      </c>
      <c r="D14" s="10">
        <v>0.708323342518104</v>
      </c>
      <c r="E14" s="10">
        <f t="shared" si="2"/>
        <v>0.180066483782681</v>
      </c>
      <c r="F14" s="10">
        <f t="shared" si="3"/>
        <v>0.7305812008933</v>
      </c>
      <c r="G14" s="13">
        <v>0.144353248186689</v>
      </c>
      <c r="H14" s="13">
        <v>0.775096917643691</v>
      </c>
      <c r="I14" s="13">
        <v>0.139814874196821</v>
      </c>
      <c r="J14" s="13">
        <v>0.788107238490726</v>
      </c>
      <c r="K14" s="8">
        <f t="shared" ref="K14:K17" si="6">AVERAGE(I14,G14,M14)</f>
        <v>0.142084061191755</v>
      </c>
      <c r="L14" s="8">
        <f>AVERAGE(J14,H14,N14)</f>
        <v>0.781602078067208</v>
      </c>
    </row>
    <row r="15" ht="28.8" spans="1:12">
      <c r="A15" s="10">
        <v>0.114413793518694</v>
      </c>
      <c r="B15" s="10">
        <v>0.791960487234974</v>
      </c>
      <c r="C15" s="10">
        <v>0.17840333210405</v>
      </c>
      <c r="D15" s="12">
        <v>0.721629668569756</v>
      </c>
      <c r="E15" s="10">
        <f t="shared" si="2"/>
        <v>0.166093483605584</v>
      </c>
      <c r="F15" s="10">
        <f t="shared" si="3"/>
        <v>0.742308023042435</v>
      </c>
      <c r="G15" s="12">
        <v>0.141473786608651</v>
      </c>
      <c r="H15" s="10">
        <v>0.783664731987794</v>
      </c>
      <c r="I15" s="10">
        <v>0.133209724904385</v>
      </c>
      <c r="J15" s="10">
        <v>0.791960487234974</v>
      </c>
      <c r="K15" s="10">
        <v>0.118696090658239</v>
      </c>
      <c r="L15" s="10">
        <v>0.802583357766631</v>
      </c>
    </row>
    <row r="16" ht="28.8" spans="1:12">
      <c r="A16" s="9">
        <v>0.118466295725901</v>
      </c>
      <c r="B16" s="12">
        <v>0.786958131476397</v>
      </c>
      <c r="C16" s="10">
        <v>0.174387966554449</v>
      </c>
      <c r="D16" s="12">
        <v>0.719414892664847</v>
      </c>
      <c r="E16" s="10">
        <f t="shared" si="2"/>
        <v>0.1640364375947</v>
      </c>
      <c r="F16" s="10">
        <f t="shared" si="3"/>
        <v>0.743188928650083</v>
      </c>
      <c r="G16" s="9">
        <v>0.143333379675201</v>
      </c>
      <c r="H16" s="12">
        <v>0.790737000620556</v>
      </c>
      <c r="I16" s="10">
        <v>0.132225954140868</v>
      </c>
      <c r="J16" s="10">
        <v>0.795935069840878</v>
      </c>
      <c r="K16" s="8">
        <f t="shared" si="6"/>
        <v>0.137779666908035</v>
      </c>
      <c r="L16" s="8">
        <f>AVERAGE(J16,H16,N16)</f>
        <v>0.793336035230717</v>
      </c>
    </row>
    <row r="17" ht="28.8" spans="1:12">
      <c r="A17" s="12">
        <v>0.131342638088591</v>
      </c>
      <c r="B17" s="12">
        <v>0.775435248491319</v>
      </c>
      <c r="C17" s="10">
        <v>0.183656574708371</v>
      </c>
      <c r="D17" s="10">
        <v>0.710580890375293</v>
      </c>
      <c r="E17" s="10">
        <f t="shared" si="2"/>
        <v>0.174369146839703</v>
      </c>
      <c r="F17" s="10">
        <f t="shared" si="3"/>
        <v>0.733188334353411</v>
      </c>
      <c r="G17" s="12">
        <v>0.155794291102367</v>
      </c>
      <c r="H17" s="12">
        <v>0.778403222309646</v>
      </c>
      <c r="I17" s="10">
        <v>0.14169968028989</v>
      </c>
      <c r="J17" s="10">
        <v>0.773506911953702</v>
      </c>
      <c r="K17" s="8">
        <f t="shared" si="6"/>
        <v>0.148746985696128</v>
      </c>
      <c r="L17" s="9">
        <v>0.798143621486925</v>
      </c>
    </row>
    <row r="18" ht="35" customHeight="1" spans="1:12">
      <c r="A18">
        <f>AVERAGE(A2:A17)</f>
        <v>0.1071937362351</v>
      </c>
      <c r="B18">
        <f t="shared" ref="B18:L18" si="7">AVERAGE(B2:B17)</f>
        <v>0.810418456473962</v>
      </c>
      <c r="C18">
        <f t="shared" si="7"/>
        <v>0.171327207951279</v>
      </c>
      <c r="D18">
        <f t="shared" si="7"/>
        <v>0.732367518997291</v>
      </c>
      <c r="E18">
        <f>AVERAGE(E2:E17)</f>
        <v>0.156815262943986</v>
      </c>
      <c r="F18">
        <f>AVERAGE(F2:F17)</f>
        <v>0.7546211935054</v>
      </c>
      <c r="G18">
        <f t="shared" si="7"/>
        <v>0.127791372929401</v>
      </c>
      <c r="H18">
        <f t="shared" si="7"/>
        <v>0.799128542521618</v>
      </c>
      <c r="I18">
        <f t="shared" si="7"/>
        <v>0.120864948431295</v>
      </c>
      <c r="J18">
        <f t="shared" si="7"/>
        <v>0.810133170887731</v>
      </c>
      <c r="K18">
        <f t="shared" si="7"/>
        <v>0.117647512319022</v>
      </c>
      <c r="L18">
        <f t="shared" si="7"/>
        <v>0.810461307107441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tabSelected="1" zoomScale="52" zoomScaleNormal="52" workbookViewId="0">
      <selection activeCell="H6" sqref="H6"/>
    </sheetView>
  </sheetViews>
  <sheetFormatPr defaultColWidth="9.23076923076923" defaultRowHeight="28.8" outlineLevelRow="5"/>
  <cols>
    <col min="1" max="1" width="16.0769230769231" style="6"/>
    <col min="2" max="2" width="34.0769230769231" style="6" customWidth="1"/>
    <col min="3" max="3" width="39.5480769230769" style="6" customWidth="1"/>
    <col min="4" max="4" width="26.1634615384615" style="6" customWidth="1"/>
    <col min="5" max="5" width="36.9134615384615" style="6" customWidth="1"/>
    <col min="6" max="6" width="26.5673076923077" style="6" customWidth="1"/>
    <col min="7" max="7" width="25.1538461538462" style="6" customWidth="1"/>
    <col min="8" max="8" width="32.8557692307692" style="6" customWidth="1"/>
    <col min="9" max="9" width="22.1057692307692" style="6" customWidth="1"/>
    <col min="10" max="10" width="30.2211538461538" style="6" customWidth="1"/>
    <col min="11" max="13" width="22.7692307692308" style="6"/>
    <col min="14" max="15" width="24.9230769230769" style="6"/>
    <col min="16" max="17" width="9.23076923076923" style="6"/>
    <col min="18" max="18" width="23.7211538461538" style="6" customWidth="1"/>
    <col min="19" max="19" width="17.5576923076923" style="6" customWidth="1"/>
    <col min="20" max="16384" width="9.23076923076923" style="6"/>
  </cols>
  <sheetData>
    <row r="1" spans="1:13">
      <c r="A1" s="2"/>
      <c r="B1" s="7" t="s">
        <v>6</v>
      </c>
      <c r="C1" s="2"/>
      <c r="D1" s="7" t="s">
        <v>8</v>
      </c>
      <c r="E1" s="2"/>
      <c r="F1" s="7" t="s">
        <v>9</v>
      </c>
      <c r="G1" s="2"/>
      <c r="H1" s="7" t="s">
        <v>10</v>
      </c>
      <c r="I1" s="2"/>
      <c r="J1" s="7" t="s">
        <v>11</v>
      </c>
      <c r="K1" s="2"/>
      <c r="L1" s="7" t="s">
        <v>4</v>
      </c>
      <c r="M1" s="2"/>
    </row>
    <row r="2" spans="1:19">
      <c r="A2" s="2">
        <v>30</v>
      </c>
      <c r="B2" s="1">
        <v>0.0206585548855768</v>
      </c>
      <c r="C2" s="2">
        <v>0.960191544235277</v>
      </c>
      <c r="D2" s="3">
        <v>0.131699933678336</v>
      </c>
      <c r="E2" s="2">
        <v>0.854501871428652</v>
      </c>
      <c r="F2" s="2">
        <v>0.0422274198931207</v>
      </c>
      <c r="G2" s="2">
        <v>0.926574325275563</v>
      </c>
      <c r="H2" s="3">
        <v>0.0489396556546268</v>
      </c>
      <c r="I2" s="2">
        <v>0.918141469838437</v>
      </c>
      <c r="J2" s="2">
        <v>0.0476502929097998</v>
      </c>
      <c r="K2" s="1">
        <v>0.906919106378301</v>
      </c>
      <c r="L2" s="3">
        <v>0.0237903612883221</v>
      </c>
      <c r="M2" s="2">
        <v>0.95436518443464</v>
      </c>
      <c r="N2" s="4">
        <f>AVERAGE(L2,J2,L2,L2,L2)</f>
        <v>0.0285623476126176</v>
      </c>
      <c r="O2" s="4">
        <f>AVERAGE(M2,K2,M2,M2,M2)</f>
        <v>0.944875968823372</v>
      </c>
      <c r="R2" s="4"/>
      <c r="S2" s="4"/>
    </row>
    <row r="3" spans="1:19">
      <c r="A3" s="2">
        <v>60</v>
      </c>
      <c r="B3" s="2">
        <v>0.155679619662266</v>
      </c>
      <c r="C3" s="2">
        <v>0.73390904548765</v>
      </c>
      <c r="D3" s="2">
        <v>0.319599765825104</v>
      </c>
      <c r="E3" s="3">
        <v>0.648520962600614</v>
      </c>
      <c r="F3" s="2">
        <v>0.199789593017208</v>
      </c>
      <c r="G3" s="2">
        <v>0.716507758204597</v>
      </c>
      <c r="H3" s="3">
        <v>0.168240863528023</v>
      </c>
      <c r="I3" s="2">
        <v>0.736831316546304</v>
      </c>
      <c r="J3" s="2">
        <v>0.166393493845702</v>
      </c>
      <c r="K3" s="2">
        <v>0.732999267111048</v>
      </c>
      <c r="L3" s="3">
        <v>0.161455786291117</v>
      </c>
      <c r="M3" s="3">
        <v>0.737895003389072</v>
      </c>
      <c r="N3" s="4">
        <f>AVERAGE(L3,J3,L3,L3,L3)</f>
        <v>0.162443327802034</v>
      </c>
      <c r="O3" s="4">
        <f>AVERAGE(M3,K3,M3,M3,M3)</f>
        <v>0.736915856133467</v>
      </c>
      <c r="R3" s="4"/>
      <c r="S3" s="4"/>
    </row>
    <row r="4" spans="1:19">
      <c r="A4" s="2">
        <v>120</v>
      </c>
      <c r="B4" s="2">
        <v>0.194273234654828</v>
      </c>
      <c r="C4" s="2">
        <v>0.694355321189389</v>
      </c>
      <c r="D4" s="3">
        <v>0.342911791119639</v>
      </c>
      <c r="E4" s="2">
        <v>0.643957570242722</v>
      </c>
      <c r="F4" s="2">
        <v>0.237162963067353</v>
      </c>
      <c r="G4" s="2">
        <v>0.670884926301275</v>
      </c>
      <c r="H4" s="3">
        <v>0.198291273862206</v>
      </c>
      <c r="I4" s="5">
        <v>0.699856362679069</v>
      </c>
      <c r="J4" s="2">
        <v>0.194992738357521</v>
      </c>
      <c r="K4" s="1">
        <v>0.701054287659965</v>
      </c>
      <c r="L4" s="3">
        <v>0.199581745319693</v>
      </c>
      <c r="M4" s="2">
        <v>0.691592686678546</v>
      </c>
      <c r="N4" s="4">
        <f>AVERAGE(L4,J4,L4,L4,L4)</f>
        <v>0.198663943927259</v>
      </c>
      <c r="O4" s="4">
        <f>AVERAGE(M4,K4,M4,M4,M4)</f>
        <v>0.69348500687483</v>
      </c>
      <c r="R4" s="4"/>
      <c r="S4" s="4"/>
    </row>
    <row r="5" spans="1:19">
      <c r="A5" s="7" t="s">
        <v>12</v>
      </c>
      <c r="B5" s="2">
        <v>0.147568503323329</v>
      </c>
      <c r="C5" s="2">
        <v>0.762859738939981</v>
      </c>
      <c r="D5" s="3">
        <v>0.681885168381971</v>
      </c>
      <c r="E5" s="3">
        <v>0.439896432220763</v>
      </c>
      <c r="F5" s="2">
        <v>0.237162963067353</v>
      </c>
      <c r="G5" s="2">
        <v>0.741923603902041</v>
      </c>
      <c r="H5" s="3">
        <v>0.169072879704996</v>
      </c>
      <c r="I5" s="2">
        <v>0.735294937807885</v>
      </c>
      <c r="J5" s="1">
        <v>0.159579276294769</v>
      </c>
      <c r="K5" s="1">
        <v>0.753575025860433</v>
      </c>
      <c r="L5" s="3">
        <v>0.147600925580628</v>
      </c>
      <c r="M5" s="3">
        <v>0.776878243590247</v>
      </c>
      <c r="N5" s="4">
        <f>AVERAGE(L5,J5,L5,L5,L5)</f>
        <v>0.149996595723456</v>
      </c>
      <c r="O5" s="4">
        <f>AVERAGE(M5,K5,M5,M5,M5)</f>
        <v>0.772217600044284</v>
      </c>
      <c r="R5" s="4"/>
      <c r="S5" s="4"/>
    </row>
    <row r="6" spans="1:19">
      <c r="A6" s="2"/>
      <c r="B6" s="2">
        <f>AVERAGE(B2:B5)</f>
        <v>0.1295449781315</v>
      </c>
      <c r="C6" s="2">
        <f>AVERAGE(C2:C5)</f>
        <v>0.787828912463074</v>
      </c>
      <c r="D6" s="2">
        <f>AVERAGE(D2:D5)</f>
        <v>0.369024164751263</v>
      </c>
      <c r="E6" s="2">
        <f>AVERAGE(E2:E5)</f>
        <v>0.646719209123188</v>
      </c>
      <c r="F6" s="2">
        <f>AVERAGE(F2:F5)</f>
        <v>0.179085734761259</v>
      </c>
      <c r="G6" s="2">
        <f>AVERAGE(G2:G5)</f>
        <v>0.763972653420869</v>
      </c>
      <c r="H6" s="2">
        <f>AVERAGE(H2:H5)</f>
        <v>0.146136168187463</v>
      </c>
      <c r="I6" s="2">
        <f>AVERAGE(I2:I5)</f>
        <v>0.772531021717924</v>
      </c>
      <c r="J6" s="2">
        <f>AVERAGE(J2:J5)</f>
        <v>0.142153950351948</v>
      </c>
      <c r="K6" s="2">
        <f>AVERAGE(K2:K5)</f>
        <v>0.773636921752437</v>
      </c>
      <c r="L6" s="2">
        <f>AVERAGE(L2:L5)</f>
        <v>0.13310720461994</v>
      </c>
      <c r="M6" s="2">
        <f>AVERAGE(M2:M5)</f>
        <v>0.790182779523126</v>
      </c>
      <c r="N6" s="4">
        <f>AVERAGE(L6,J6,L6,L6,L6)</f>
        <v>0.134916553766342</v>
      </c>
      <c r="O6" s="4">
        <f>AVERAGE(M6,K6,M6,M6,M6)</f>
        <v>0.786873607968988</v>
      </c>
      <c r="R6" s="4"/>
      <c r="S6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6"/>
  <sheetViews>
    <sheetView zoomScale="81" zoomScaleNormal="81" workbookViewId="0">
      <selection activeCell="I18" sqref="I18"/>
    </sheetView>
  </sheetViews>
  <sheetFormatPr defaultColWidth="9.23076923076923" defaultRowHeight="16.8" outlineLevelRow="5"/>
  <cols>
    <col min="2" max="2" width="22.9134615384615" customWidth="1"/>
    <col min="3" max="3" width="28.0384615384615" customWidth="1"/>
    <col min="4" max="4" width="23.5576923076923" customWidth="1"/>
    <col min="5" max="5" width="27.5576923076923" customWidth="1"/>
    <col min="6" max="6" width="23.2307692307692" customWidth="1"/>
    <col min="7" max="7" width="24.3557692307692" customWidth="1"/>
    <col min="8" max="8" width="21.1442307692308" customWidth="1"/>
    <col min="9" max="9" width="29.6442307692308" customWidth="1"/>
    <col min="10" max="10" width="46.4711538461538" customWidth="1"/>
    <col min="11" max="11" width="31.8942307692308" customWidth="1"/>
    <col min="12" max="12" width="20.9711538461538" customWidth="1"/>
    <col min="13" max="13" width="18.3942307692308" customWidth="1"/>
  </cols>
  <sheetData>
    <row r="1" ht="34" customHeight="1" spans="2:12">
      <c r="B1" t="s">
        <v>6</v>
      </c>
      <c r="D1" t="s">
        <v>0</v>
      </c>
      <c r="F1" t="s">
        <v>1</v>
      </c>
      <c r="H1" t="s">
        <v>2</v>
      </c>
      <c r="J1" t="s">
        <v>11</v>
      </c>
      <c r="L1" t="s">
        <v>4</v>
      </c>
    </row>
    <row r="2" ht="28.8" spans="2:13">
      <c r="B2" s="1">
        <v>0.0206585548855768</v>
      </c>
      <c r="C2" s="2">
        <v>0.960191544235277</v>
      </c>
      <c r="D2" s="3">
        <v>0.131699933678336</v>
      </c>
      <c r="E2" s="2">
        <v>0.854501871428652</v>
      </c>
      <c r="F2" s="2">
        <v>0.0422274198931207</v>
      </c>
      <c r="G2" s="2">
        <v>0.926574325275563</v>
      </c>
      <c r="H2" s="3">
        <v>0.0489396556546268</v>
      </c>
      <c r="I2" s="2">
        <v>0.918141469838437</v>
      </c>
      <c r="J2" s="2">
        <v>0.0476502929097998</v>
      </c>
      <c r="K2" s="1">
        <v>0.906919106378301</v>
      </c>
      <c r="L2" s="4">
        <v>0.036</v>
      </c>
      <c r="M2" s="4">
        <v>0.931</v>
      </c>
    </row>
    <row r="3" ht="28.8" spans="2:13">
      <c r="B3" s="2">
        <v>0.155679619662266</v>
      </c>
      <c r="C3" s="2">
        <v>0.73390904548765</v>
      </c>
      <c r="D3" s="2">
        <v>0.319599765825104</v>
      </c>
      <c r="E3" s="3">
        <v>0.648520962600614</v>
      </c>
      <c r="F3" s="2">
        <v>0.199789593017208</v>
      </c>
      <c r="G3" s="2">
        <v>0.716507758204597</v>
      </c>
      <c r="H3" s="3">
        <v>0.168240863528023</v>
      </c>
      <c r="I3" s="2">
        <v>0.736831316546304</v>
      </c>
      <c r="J3" s="2">
        <v>0.166393493845702</v>
      </c>
      <c r="K3" s="2">
        <v>0.732999267111048</v>
      </c>
      <c r="L3" s="4">
        <v>0.164</v>
      </c>
      <c r="M3" s="4">
        <v>0.735</v>
      </c>
    </row>
    <row r="4" ht="28.8" spans="2:13">
      <c r="B4" s="2">
        <v>0.194273234654828</v>
      </c>
      <c r="C4" s="2">
        <v>0.694355321189389</v>
      </c>
      <c r="D4" s="3">
        <v>0.342911791119639</v>
      </c>
      <c r="E4" s="2">
        <v>0.643957570242722</v>
      </c>
      <c r="F4" s="2">
        <v>0.237162963067353</v>
      </c>
      <c r="G4" s="2">
        <v>0.670884926301275</v>
      </c>
      <c r="H4" s="3">
        <v>0.198291273862206</v>
      </c>
      <c r="I4" s="5">
        <v>0.699856362679069</v>
      </c>
      <c r="J4" s="2">
        <v>0.194992738357521</v>
      </c>
      <c r="K4" s="1">
        <v>0.701054287659965</v>
      </c>
      <c r="L4" s="4">
        <v>0.197</v>
      </c>
      <c r="M4" s="4">
        <v>0.696</v>
      </c>
    </row>
    <row r="5" ht="28.8" spans="2:13">
      <c r="B5" s="2">
        <v>0.147568503323329</v>
      </c>
      <c r="C5" s="2">
        <v>0.762859738939981</v>
      </c>
      <c r="D5" s="3">
        <v>0.681885168381971</v>
      </c>
      <c r="E5" s="3">
        <v>0.439896432220763</v>
      </c>
      <c r="F5" s="2">
        <v>0.237162963067353</v>
      </c>
      <c r="G5" s="2">
        <v>0.741923603902041</v>
      </c>
      <c r="H5" s="3">
        <v>0.169072879704996</v>
      </c>
      <c r="I5" s="2">
        <v>0.735294937807885</v>
      </c>
      <c r="J5" s="1">
        <v>0.159579276294769</v>
      </c>
      <c r="K5" s="1">
        <v>0.753575025860433</v>
      </c>
      <c r="L5" s="4">
        <v>0.154</v>
      </c>
      <c r="M5" s="4">
        <v>0.765</v>
      </c>
    </row>
    <row r="6" ht="28.8" spans="2:13">
      <c r="B6" s="2">
        <f t="shared" ref="B6:K6" si="0">AVERAGE(B2:B5)</f>
        <v>0.1295449781315</v>
      </c>
      <c r="C6" s="2">
        <f t="shared" si="0"/>
        <v>0.787828912463074</v>
      </c>
      <c r="D6" s="2">
        <f t="shared" si="0"/>
        <v>0.369024164751263</v>
      </c>
      <c r="E6" s="2">
        <f t="shared" si="0"/>
        <v>0.646719209123188</v>
      </c>
      <c r="F6" s="2">
        <f t="shared" si="0"/>
        <v>0.179085734761259</v>
      </c>
      <c r="G6" s="2">
        <f t="shared" si="0"/>
        <v>0.763972653420869</v>
      </c>
      <c r="H6" s="2">
        <f t="shared" si="0"/>
        <v>0.146136168187463</v>
      </c>
      <c r="I6" s="2">
        <f t="shared" si="0"/>
        <v>0.772531021717924</v>
      </c>
      <c r="J6" s="2">
        <f t="shared" si="0"/>
        <v>0.142153950351948</v>
      </c>
      <c r="K6" s="2">
        <f t="shared" si="0"/>
        <v>0.773636921752437</v>
      </c>
      <c r="L6" s="4">
        <v>0.138</v>
      </c>
      <c r="M6" s="4">
        <v>0.782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full</vt:lpstr>
      <vt:lpstr>fullshot</vt:lpstr>
      <vt:lpstr>fewshot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吴伯涛</cp:lastModifiedBy>
  <dcterms:created xsi:type="dcterms:W3CDTF">2025-05-29T07:41:00Z</dcterms:created>
  <dcterms:modified xsi:type="dcterms:W3CDTF">2025-08-06T22:01:11Z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603E01D2F16B49762C6D356872FE2BFB_43</vt:lpwstr>
  </property>
  <property fmtid="{D5CDD505-2E9C-101B-9397-08002B2CF9AE}" pid="3" name="KSOProductBuildVer">
    <vt:lpwstr>2052-6.12.1.8902</vt:lpwstr>
  </property>
</Properties>
</file>